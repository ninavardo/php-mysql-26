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321student14\Desktop\"/>
    </mc:Choice>
  </mc:AlternateContent>
  <xr:revisionPtr revIDLastSave="0" documentId="8_{6065BF3A-19CB-47ED-8582-13F0203DCB88}" xr6:coauthVersionLast="47" xr6:coauthVersionMax="47" xr10:uidLastSave="{00000000-0000-0000-0000-000000000000}"/>
  <bookViews>
    <workbookView xWindow="-120" yWindow="-120" windowWidth="29040" windowHeight="15840" activeTab="2" xr2:uid="{876E5190-6B23-45FD-9AFC-1A6338B881A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F4" i="3"/>
  <c r="D4" i="3"/>
  <c r="J8" i="3"/>
  <c r="H5" i="3"/>
  <c r="H6" i="3"/>
  <c r="H7" i="3"/>
  <c r="H8" i="3"/>
  <c r="I8" i="3" s="1"/>
  <c r="K8" i="3" s="1"/>
  <c r="H4" i="3"/>
  <c r="F7" i="3"/>
  <c r="D5" i="3"/>
  <c r="J5" i="3" s="1"/>
  <c r="D6" i="3"/>
  <c r="F6" i="3" s="1"/>
  <c r="D7" i="3"/>
  <c r="J7" i="3" s="1"/>
  <c r="D8" i="3"/>
  <c r="F8" i="3" s="1"/>
  <c r="G9" i="2"/>
  <c r="F9" i="2"/>
  <c r="F5" i="2"/>
  <c r="F6" i="2"/>
  <c r="F7" i="2"/>
  <c r="F8" i="2"/>
  <c r="F4" i="2"/>
  <c r="G4" i="2"/>
  <c r="G5" i="2"/>
  <c r="G6" i="2"/>
  <c r="G7" i="2"/>
  <c r="G8" i="2"/>
  <c r="D5" i="2"/>
  <c r="D6" i="2"/>
  <c r="D7" i="2"/>
  <c r="D8" i="2"/>
  <c r="D4" i="2"/>
  <c r="F12" i="1"/>
  <c r="E12" i="1"/>
  <c r="E5" i="1"/>
  <c r="E6" i="1"/>
  <c r="E7" i="1"/>
  <c r="E8" i="1"/>
  <c r="E9" i="1"/>
  <c r="E10" i="1"/>
  <c r="E11" i="1"/>
  <c r="E4" i="1"/>
  <c r="I4" i="3" l="1"/>
  <c r="K4" i="3" s="1"/>
  <c r="I6" i="3"/>
  <c r="K6" i="3" s="1"/>
  <c r="J6" i="3"/>
  <c r="F5" i="3"/>
  <c r="I5" i="3" s="1"/>
  <c r="K5" i="3" s="1"/>
  <c r="I7" i="3"/>
  <c r="K7" i="3" s="1"/>
</calcChain>
</file>

<file path=xl/sharedStrings.xml><?xml version="1.0" encoding="utf-8"?>
<sst xmlns="http://schemas.openxmlformats.org/spreadsheetml/2006/main" count="44" uniqueCount="36">
  <si>
    <t>ექსკურსია</t>
  </si>
  <si>
    <t>N</t>
  </si>
  <si>
    <t>დასახელება</t>
  </si>
  <si>
    <t>ფასი</t>
  </si>
  <si>
    <t>რაოდენობა</t>
  </si>
  <si>
    <t>დასახელება1</t>
  </si>
  <si>
    <t>დასახელება2</t>
  </si>
  <si>
    <t>დასახელება3</t>
  </si>
  <si>
    <t>დასახელება4</t>
  </si>
  <si>
    <t>დასახელება5</t>
  </si>
  <si>
    <t>დასახელება6</t>
  </si>
  <si>
    <t>დასახელება7</t>
  </si>
  <si>
    <t>დასახელება8</t>
  </si>
  <si>
    <t>თანხა</t>
  </si>
  <si>
    <t>პროდუქციის ყიდვა</t>
  </si>
  <si>
    <t>ფასი$</t>
  </si>
  <si>
    <t>ფასი ₾</t>
  </si>
  <si>
    <t>ლეპტოპი</t>
  </si>
  <si>
    <t>მაუსი</t>
  </si>
  <si>
    <t>კლავიატურა</t>
  </si>
  <si>
    <t>შარვალი</t>
  </si>
  <si>
    <t>ქურთუკი</t>
  </si>
  <si>
    <t>ფასი ევრო</t>
  </si>
  <si>
    <t>პროდუქციის გაყიდვები</t>
  </si>
  <si>
    <t>წუნიანი რაოდენობა</t>
  </si>
  <si>
    <t>შემოსული თანხა</t>
  </si>
  <si>
    <t>მოგება</t>
  </si>
  <si>
    <t>გასაყიდი ფასი +20% ლარი</t>
  </si>
  <si>
    <t>მაისური1</t>
  </si>
  <si>
    <t>მაისური2</t>
  </si>
  <si>
    <t>მაისური3</t>
  </si>
  <si>
    <t>მაისური4</t>
  </si>
  <si>
    <t>მაისური5</t>
  </si>
  <si>
    <t>ფასი ლარი</t>
  </si>
  <si>
    <t>გსაყიდი რაოდენობა</t>
  </si>
  <si>
    <t>ზარალი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</si>
</sst>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\ [$₾-437]_-;\-* #,##0.00\ [$₾-437]_-;_-* &quot;-&quot;??\ [$₾-437]_-;_-@_-"/>
    <numFmt numFmtId="166" formatCode="_([$€-2]\ * #,##0.00_);_([$€-2]\ * \(#,##0.00\);_([$€-2]\ 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0" borderId="0" xfId="0" applyFont="1" applyAlignment="1">
      <alignment horizontal="center"/>
    </xf>
    <xf numFmtId="44" fontId="0" fillId="0" borderId="1" xfId="1" applyFont="1" applyBorder="1"/>
    <xf numFmtId="0" fontId="2" fillId="2" borderId="0" xfId="0" applyFont="1" applyFill="1"/>
    <xf numFmtId="166" fontId="0" fillId="0" borderId="1" xfId="1" applyNumberFormat="1" applyFont="1" applyBorder="1"/>
    <xf numFmtId="166" fontId="0" fillId="0" borderId="1" xfId="1" applyNumberFormat="1" applyFont="1" applyFill="1" applyBorder="1"/>
    <xf numFmtId="0" fontId="6" fillId="0" borderId="0" xfId="0" applyFont="1" applyAlignment="1">
      <alignment horizontal="center"/>
    </xf>
    <xf numFmtId="0" fontId="0" fillId="0" borderId="1" xfId="0" applyFont="1" applyBorder="1"/>
    <xf numFmtId="0" fontId="0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/>
    <xf numFmtId="0" fontId="0" fillId="3" borderId="1" xfId="0" applyFont="1" applyFill="1" applyBorder="1"/>
    <xf numFmtId="44" fontId="0" fillId="3" borderId="1" xfId="1" applyFont="1" applyFill="1" applyBorder="1"/>
    <xf numFmtId="164" fontId="0" fillId="3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3611111111110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ფასი$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Sheet3!$B$4:$B$8</c:f>
              <c:strCache>
                <c:ptCount val="5"/>
                <c:pt idx="0">
                  <c:v>მაისური1</c:v>
                </c:pt>
                <c:pt idx="1">
                  <c:v>მაისური2</c:v>
                </c:pt>
                <c:pt idx="2">
                  <c:v>მაისური3</c:v>
                </c:pt>
                <c:pt idx="3">
                  <c:v>მაისური4</c:v>
                </c:pt>
                <c:pt idx="4">
                  <c:v>მაისური5</c:v>
                </c:pt>
              </c:strCache>
            </c:strRef>
          </c:cat>
          <c:val>
            <c:numRef>
              <c:f>Sheet3!$C$4:$C$8</c:f>
              <c:numCache>
                <c:formatCode>_("$"* #,##0.00_);_("$"* \(#,##0.00\);_("$"* "-"??_);_(@_)</c:formatCode>
                <c:ptCount val="5"/>
                <c:pt idx="0">
                  <c:v>29</c:v>
                </c:pt>
                <c:pt idx="1">
                  <c:v>32</c:v>
                </c:pt>
                <c:pt idx="2">
                  <c:v>35</c:v>
                </c:pt>
                <c:pt idx="3">
                  <c:v>38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2-4667-B265-0C5F7CF09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047672"/>
        <c:axId val="548751232"/>
      </c:barChart>
      <c:catAx>
        <c:axId val="54804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51232"/>
        <c:crosses val="autoZero"/>
        <c:auto val="1"/>
        <c:lblAlgn val="ctr"/>
        <c:lblOffset val="100"/>
        <c:noMultiLvlLbl val="0"/>
      </c:catAx>
      <c:valAx>
        <c:axId val="5487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47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561111111111109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რაოდენობა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Sheet3!$B$4:$B$8</c:f>
              <c:strCache>
                <c:ptCount val="5"/>
                <c:pt idx="0">
                  <c:v>მაისური1</c:v>
                </c:pt>
                <c:pt idx="1">
                  <c:v>მაისური2</c:v>
                </c:pt>
                <c:pt idx="2">
                  <c:v>მაისური3</c:v>
                </c:pt>
                <c:pt idx="3">
                  <c:v>მაისური4</c:v>
                </c:pt>
                <c:pt idx="4">
                  <c:v>მაისური5</c:v>
                </c:pt>
              </c:strCache>
            </c:strRef>
          </c:cat>
          <c:val>
            <c:numRef>
              <c:f>Sheet3!$E$4:$E$8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A-420E-B5F5-C6ED3F71C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185737</xdr:rowOff>
    </xdr:from>
    <xdr:to>
      <xdr:col>5</xdr:col>
      <xdr:colOff>885825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37A2E-B435-6000-EEB9-5438F36A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9</xdr:row>
      <xdr:rowOff>185737</xdr:rowOff>
    </xdr:from>
    <xdr:to>
      <xdr:col>9</xdr:col>
      <xdr:colOff>485775</xdr:colOff>
      <xdr:row>24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DC8DF-F8BA-8F88-696C-AA62C3073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E3A5-7CDF-4E5C-AB73-D0D6971FBE4E}">
  <dimension ref="A1:F12"/>
  <sheetViews>
    <sheetView workbookViewId="0">
      <selection activeCell="F13" sqref="F13"/>
    </sheetView>
  </sheetViews>
  <sheetFormatPr defaultRowHeight="15" x14ac:dyDescent="0.25"/>
  <cols>
    <col min="2" max="2" width="17.85546875" customWidth="1"/>
    <col min="4" max="4" width="12.5703125" bestFit="1" customWidth="1"/>
    <col min="5" max="5" width="9.5703125" bestFit="1" customWidth="1"/>
  </cols>
  <sheetData>
    <row r="1" spans="1:6" ht="21" x14ac:dyDescent="0.25">
      <c r="A1" s="3" t="s">
        <v>0</v>
      </c>
      <c r="B1" s="3"/>
      <c r="C1" s="3"/>
      <c r="D1" s="3"/>
    </row>
    <row r="3" spans="1:6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13</v>
      </c>
    </row>
    <row r="4" spans="1:6" x14ac:dyDescent="0.25">
      <c r="A4" s="2">
        <v>1</v>
      </c>
      <c r="B4" s="2" t="s">
        <v>5</v>
      </c>
      <c r="C4" s="4">
        <v>10.89</v>
      </c>
      <c r="D4" s="2">
        <v>2</v>
      </c>
      <c r="E4" s="5">
        <f>C4*D4</f>
        <v>21.78</v>
      </c>
    </row>
    <row r="5" spans="1:6" x14ac:dyDescent="0.25">
      <c r="A5" s="2">
        <v>2</v>
      </c>
      <c r="B5" s="2" t="s">
        <v>6</v>
      </c>
      <c r="C5" s="2">
        <v>9.15</v>
      </c>
      <c r="D5" s="2">
        <v>3</v>
      </c>
      <c r="E5" s="5">
        <f t="shared" ref="E5:E11" si="0">C5*D5</f>
        <v>27.450000000000003</v>
      </c>
    </row>
    <row r="6" spans="1:6" x14ac:dyDescent="0.25">
      <c r="A6" s="2">
        <v>3</v>
      </c>
      <c r="B6" s="2" t="s">
        <v>7</v>
      </c>
      <c r="C6" s="2">
        <v>7.41</v>
      </c>
      <c r="D6" s="2">
        <v>4</v>
      </c>
      <c r="E6" s="5">
        <f t="shared" si="0"/>
        <v>29.64</v>
      </c>
    </row>
    <row r="7" spans="1:6" x14ac:dyDescent="0.25">
      <c r="A7" s="2">
        <v>4</v>
      </c>
      <c r="B7" s="2" t="s">
        <v>8</v>
      </c>
      <c r="C7" s="2">
        <v>5.67</v>
      </c>
      <c r="D7" s="2">
        <v>5</v>
      </c>
      <c r="E7" s="5">
        <f t="shared" si="0"/>
        <v>28.35</v>
      </c>
    </row>
    <row r="8" spans="1:6" x14ac:dyDescent="0.25">
      <c r="A8" s="2">
        <v>5</v>
      </c>
      <c r="B8" s="2" t="s">
        <v>9</v>
      </c>
      <c r="C8" s="2">
        <v>3.93</v>
      </c>
      <c r="D8" s="2">
        <v>6</v>
      </c>
      <c r="E8" s="5">
        <f t="shared" si="0"/>
        <v>23.580000000000002</v>
      </c>
    </row>
    <row r="9" spans="1:6" x14ac:dyDescent="0.25">
      <c r="A9" s="2">
        <v>6</v>
      </c>
      <c r="B9" s="2" t="s">
        <v>10</v>
      </c>
      <c r="C9" s="2">
        <v>2.19</v>
      </c>
      <c r="D9" s="2">
        <v>7</v>
      </c>
      <c r="E9" s="5">
        <f t="shared" si="0"/>
        <v>15.33</v>
      </c>
    </row>
    <row r="10" spans="1:6" x14ac:dyDescent="0.25">
      <c r="A10" s="2">
        <v>7</v>
      </c>
      <c r="B10" s="2" t="s">
        <v>11</v>
      </c>
      <c r="C10" s="2">
        <v>0.45</v>
      </c>
      <c r="D10" s="2">
        <v>8</v>
      </c>
      <c r="E10" s="5">
        <f t="shared" si="0"/>
        <v>3.6</v>
      </c>
    </row>
    <row r="11" spans="1:6" x14ac:dyDescent="0.25">
      <c r="A11" s="2">
        <v>8</v>
      </c>
      <c r="B11" s="2" t="s">
        <v>12</v>
      </c>
      <c r="C11" s="2">
        <v>1.89</v>
      </c>
      <c r="D11" s="2">
        <v>9</v>
      </c>
      <c r="E11" s="5">
        <f t="shared" si="0"/>
        <v>17.009999999999998</v>
      </c>
    </row>
    <row r="12" spans="1:6" x14ac:dyDescent="0.25">
      <c r="E12" s="6">
        <f>SUM(E4:E11)</f>
        <v>166.74</v>
      </c>
      <c r="F12" s="6">
        <f>E12/8</f>
        <v>20.842500000000001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824-199B-4C56-B274-5ED3756233E0}">
  <dimension ref="A1:I9"/>
  <sheetViews>
    <sheetView workbookViewId="0">
      <selection activeCell="L13" sqref="L13"/>
    </sheetView>
  </sheetViews>
  <sheetFormatPr defaultRowHeight="15" x14ac:dyDescent="0.25"/>
  <cols>
    <col min="1" max="1" width="10.42578125" customWidth="1"/>
    <col min="2" max="2" width="12.85546875" bestFit="1" customWidth="1"/>
    <col min="3" max="3" width="10.5703125" bestFit="1" customWidth="1"/>
    <col min="4" max="4" width="11.140625" bestFit="1" customWidth="1"/>
    <col min="5" max="5" width="12.5703125" bestFit="1" customWidth="1"/>
    <col min="6" max="6" width="11.140625" bestFit="1" customWidth="1"/>
    <col min="7" max="7" width="12" bestFit="1" customWidth="1"/>
  </cols>
  <sheetData>
    <row r="1" spans="1:9" ht="23.25" customHeight="1" x14ac:dyDescent="0.25">
      <c r="A1" s="7" t="s">
        <v>14</v>
      </c>
      <c r="B1" s="7"/>
      <c r="C1" s="7"/>
      <c r="D1" s="7"/>
      <c r="E1" s="7"/>
      <c r="F1" s="7"/>
      <c r="H1" s="9">
        <v>2.72</v>
      </c>
      <c r="I1" s="9">
        <v>3.11</v>
      </c>
    </row>
    <row r="3" spans="1:9" ht="27.75" customHeight="1" x14ac:dyDescent="0.25">
      <c r="A3" s="1" t="s">
        <v>1</v>
      </c>
      <c r="B3" s="1" t="s">
        <v>2</v>
      </c>
      <c r="C3" s="1" t="s">
        <v>15</v>
      </c>
      <c r="D3" s="1" t="s">
        <v>16</v>
      </c>
      <c r="E3" s="1" t="s">
        <v>4</v>
      </c>
      <c r="F3" s="1" t="s">
        <v>13</v>
      </c>
      <c r="G3" s="1" t="s">
        <v>22</v>
      </c>
    </row>
    <row r="4" spans="1:9" x14ac:dyDescent="0.25">
      <c r="A4" s="2">
        <v>1</v>
      </c>
      <c r="B4" s="2" t="s">
        <v>17</v>
      </c>
      <c r="C4" s="8">
        <v>1950</v>
      </c>
      <c r="D4" s="5">
        <f>C4*$H$1</f>
        <v>5304</v>
      </c>
      <c r="E4" s="2">
        <v>1</v>
      </c>
      <c r="F4" s="5">
        <f>D4*E4</f>
        <v>5304</v>
      </c>
      <c r="G4" s="10">
        <f>C4*$I$1</f>
        <v>6064.5</v>
      </c>
    </row>
    <row r="5" spans="1:9" x14ac:dyDescent="0.25">
      <c r="A5" s="2">
        <v>2</v>
      </c>
      <c r="B5" s="2" t="s">
        <v>18</v>
      </c>
      <c r="C5" s="8">
        <v>23.9</v>
      </c>
      <c r="D5" s="5">
        <f t="shared" ref="D5:F8" si="0">C5*$H$1</f>
        <v>65.007999999999996</v>
      </c>
      <c r="E5" s="2">
        <v>2</v>
      </c>
      <c r="F5" s="5">
        <f t="shared" ref="F5:F8" si="1">D5*E5</f>
        <v>130.01599999999999</v>
      </c>
      <c r="G5" s="10">
        <f t="shared" ref="G5:G8" si="2">C5*$I$1</f>
        <v>74.328999999999994</v>
      </c>
    </row>
    <row r="6" spans="1:9" x14ac:dyDescent="0.25">
      <c r="A6" s="2">
        <v>3</v>
      </c>
      <c r="B6" s="2" t="s">
        <v>19</v>
      </c>
      <c r="C6" s="8">
        <v>22</v>
      </c>
      <c r="D6" s="5">
        <f t="shared" si="0"/>
        <v>59.84</v>
      </c>
      <c r="E6" s="2">
        <v>2</v>
      </c>
      <c r="F6" s="5">
        <f t="shared" si="1"/>
        <v>119.68</v>
      </c>
      <c r="G6" s="10">
        <f t="shared" si="2"/>
        <v>68.42</v>
      </c>
    </row>
    <row r="7" spans="1:9" x14ac:dyDescent="0.25">
      <c r="A7" s="2">
        <v>4</v>
      </c>
      <c r="B7" s="2" t="s">
        <v>20</v>
      </c>
      <c r="C7" s="8">
        <v>39</v>
      </c>
      <c r="D7" s="5">
        <f t="shared" si="0"/>
        <v>106.08000000000001</v>
      </c>
      <c r="E7" s="2">
        <v>4</v>
      </c>
      <c r="F7" s="5">
        <f t="shared" si="1"/>
        <v>424.32000000000005</v>
      </c>
      <c r="G7" s="10">
        <f t="shared" si="2"/>
        <v>121.28999999999999</v>
      </c>
    </row>
    <row r="8" spans="1:9" x14ac:dyDescent="0.25">
      <c r="A8" s="2">
        <v>5</v>
      </c>
      <c r="B8" s="2" t="s">
        <v>21</v>
      </c>
      <c r="C8" s="8">
        <v>49</v>
      </c>
      <c r="D8" s="5">
        <f t="shared" si="0"/>
        <v>133.28</v>
      </c>
      <c r="E8" s="2">
        <v>3</v>
      </c>
      <c r="F8" s="5">
        <f t="shared" si="1"/>
        <v>399.84000000000003</v>
      </c>
      <c r="G8" s="10">
        <f t="shared" si="2"/>
        <v>152.38999999999999</v>
      </c>
    </row>
    <row r="9" spans="1:9" x14ac:dyDescent="0.25">
      <c r="F9" s="5">
        <f>SUM(F4:F8)</f>
        <v>6377.8559999999998</v>
      </c>
      <c r="G9" s="11">
        <f>F9/I1</f>
        <v>2050.7575562700963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8C78-1968-474E-B25B-3DCE3CF0B197}">
  <dimension ref="A1:P8"/>
  <sheetViews>
    <sheetView tabSelected="1" workbookViewId="0">
      <selection activeCell="N10" sqref="N10"/>
    </sheetView>
  </sheetViews>
  <sheetFormatPr defaultRowHeight="15" x14ac:dyDescent="0.25"/>
  <cols>
    <col min="2" max="2" width="12.85546875" bestFit="1" customWidth="1"/>
    <col min="4" max="4" width="11.7109375" bestFit="1" customWidth="1"/>
    <col min="5" max="5" width="12.5703125" bestFit="1" customWidth="1"/>
    <col min="6" max="6" width="26.85546875" bestFit="1" customWidth="1"/>
    <col min="7" max="7" width="21.5703125" bestFit="1" customWidth="1"/>
    <col min="8" max="8" width="21.5703125" customWidth="1"/>
    <col min="9" max="9" width="18.28515625" bestFit="1" customWidth="1"/>
    <col min="10" max="10" width="18.28515625" customWidth="1"/>
    <col min="11" max="11" width="11.140625" bestFit="1" customWidth="1"/>
  </cols>
  <sheetData>
    <row r="1" spans="1:16" ht="24" x14ac:dyDescent="0.4">
      <c r="A1" s="12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P1">
        <v>2.72</v>
      </c>
    </row>
    <row r="3" spans="1:16" ht="27.75" customHeight="1" x14ac:dyDescent="0.25">
      <c r="A3" s="14" t="s">
        <v>1</v>
      </c>
      <c r="B3" s="14" t="s">
        <v>2</v>
      </c>
      <c r="C3" s="14" t="s">
        <v>15</v>
      </c>
      <c r="D3" s="14" t="s">
        <v>33</v>
      </c>
      <c r="E3" s="14" t="s">
        <v>4</v>
      </c>
      <c r="F3" s="14" t="s">
        <v>27</v>
      </c>
      <c r="G3" s="14" t="s">
        <v>24</v>
      </c>
      <c r="H3" s="14" t="s">
        <v>34</v>
      </c>
      <c r="I3" s="14" t="s">
        <v>25</v>
      </c>
      <c r="J3" s="14" t="s">
        <v>35</v>
      </c>
      <c r="K3" s="14" t="s">
        <v>26</v>
      </c>
    </row>
    <row r="4" spans="1:16" x14ac:dyDescent="0.25">
      <c r="A4" s="13">
        <v>1</v>
      </c>
      <c r="B4" s="16" t="s">
        <v>28</v>
      </c>
      <c r="C4" s="17">
        <v>29</v>
      </c>
      <c r="D4" s="18">
        <f>C4*$P$1</f>
        <v>78.88000000000001</v>
      </c>
      <c r="E4" s="16">
        <v>50</v>
      </c>
      <c r="F4" s="18">
        <f>D4*1.2</f>
        <v>94.656000000000006</v>
      </c>
      <c r="G4" s="16">
        <v>1</v>
      </c>
      <c r="H4" s="16">
        <f>E4-G4</f>
        <v>49</v>
      </c>
      <c r="I4" s="15">
        <f>F4*H4</f>
        <v>4638.1440000000002</v>
      </c>
      <c r="J4" s="15">
        <f>G4*D4</f>
        <v>78.88000000000001</v>
      </c>
      <c r="K4" s="15">
        <f>I4-(D4*E4)</f>
        <v>694.14399999999978</v>
      </c>
    </row>
    <row r="5" spans="1:16" x14ac:dyDescent="0.25">
      <c r="A5" s="13">
        <v>2</v>
      </c>
      <c r="B5" s="16" t="s">
        <v>29</v>
      </c>
      <c r="C5" s="17">
        <v>32</v>
      </c>
      <c r="D5" s="18">
        <f t="shared" ref="D5:D8" si="0">C5*$P$1</f>
        <v>87.04</v>
      </c>
      <c r="E5" s="16">
        <v>60</v>
      </c>
      <c r="F5" s="18">
        <f t="shared" ref="F5:F7" si="1">D5*1.2</f>
        <v>104.44800000000001</v>
      </c>
      <c r="G5" s="16">
        <v>2</v>
      </c>
      <c r="H5" s="16">
        <f t="shared" ref="H5:H8" si="2">E5-G5</f>
        <v>58</v>
      </c>
      <c r="I5" s="15">
        <f t="shared" ref="I5:I8" si="3">F5*H5</f>
        <v>6057.9840000000004</v>
      </c>
      <c r="J5" s="15">
        <f t="shared" ref="J5:J8" si="4">G5*D5</f>
        <v>174.08</v>
      </c>
      <c r="K5" s="15">
        <f t="shared" ref="K5:K8" si="5">I5-(D5*E5)</f>
        <v>835.58399999999983</v>
      </c>
    </row>
    <row r="6" spans="1:16" x14ac:dyDescent="0.25">
      <c r="A6" s="13">
        <v>3</v>
      </c>
      <c r="B6" s="16" t="s">
        <v>30</v>
      </c>
      <c r="C6" s="17">
        <v>35</v>
      </c>
      <c r="D6" s="18">
        <f t="shared" si="0"/>
        <v>95.2</v>
      </c>
      <c r="E6" s="16">
        <v>70</v>
      </c>
      <c r="F6" s="18">
        <f t="shared" si="1"/>
        <v>114.24</v>
      </c>
      <c r="G6" s="16">
        <v>6</v>
      </c>
      <c r="H6" s="16">
        <f t="shared" si="2"/>
        <v>64</v>
      </c>
      <c r="I6" s="15">
        <f t="shared" si="3"/>
        <v>7311.36</v>
      </c>
      <c r="J6" s="15">
        <f t="shared" si="4"/>
        <v>571.20000000000005</v>
      </c>
      <c r="K6" s="15">
        <f t="shared" si="5"/>
        <v>647.35999999999967</v>
      </c>
    </row>
    <row r="7" spans="1:16" x14ac:dyDescent="0.25">
      <c r="A7" s="13">
        <v>4</v>
      </c>
      <c r="B7" s="16" t="s">
        <v>31</v>
      </c>
      <c r="C7" s="17">
        <v>38</v>
      </c>
      <c r="D7" s="18">
        <f t="shared" si="0"/>
        <v>103.36000000000001</v>
      </c>
      <c r="E7" s="16">
        <v>80</v>
      </c>
      <c r="F7" s="18">
        <f t="shared" si="1"/>
        <v>124.03200000000001</v>
      </c>
      <c r="G7" s="16">
        <v>1</v>
      </c>
      <c r="H7" s="16">
        <f t="shared" si="2"/>
        <v>79</v>
      </c>
      <c r="I7" s="15">
        <f t="shared" si="3"/>
        <v>9798.5280000000002</v>
      </c>
      <c r="J7" s="15">
        <f>G7*D7</f>
        <v>103.36000000000001</v>
      </c>
      <c r="K7" s="15">
        <f t="shared" si="5"/>
        <v>1529.7279999999992</v>
      </c>
    </row>
    <row r="8" spans="1:16" x14ac:dyDescent="0.25">
      <c r="A8" s="13">
        <v>5</v>
      </c>
      <c r="B8" s="16" t="s">
        <v>32</v>
      </c>
      <c r="C8" s="17">
        <v>41</v>
      </c>
      <c r="D8" s="18">
        <f t="shared" si="0"/>
        <v>111.52000000000001</v>
      </c>
      <c r="E8" s="16">
        <v>90</v>
      </c>
      <c r="F8" s="18">
        <f>D8*1.2</f>
        <v>133.82400000000001</v>
      </c>
      <c r="G8" s="16">
        <v>1</v>
      </c>
      <c r="H8" s="16">
        <f t="shared" si="2"/>
        <v>89</v>
      </c>
      <c r="I8" s="15">
        <f t="shared" si="3"/>
        <v>11910.336000000001</v>
      </c>
      <c r="J8" s="15">
        <f t="shared" si="4"/>
        <v>111.52000000000001</v>
      </c>
      <c r="K8" s="15">
        <f t="shared" si="5"/>
        <v>1873.5360000000001</v>
      </c>
    </row>
  </sheetData>
  <mergeCells count="1">
    <mergeCell ref="A1:K1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7E66-5F60-4514-9C9D-80595C5C86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321.14</dc:creator>
  <cp:lastModifiedBy>321.14</cp:lastModifiedBy>
  <dcterms:created xsi:type="dcterms:W3CDTF">2025-11-25T08:09:59Z</dcterms:created>
  <dcterms:modified xsi:type="dcterms:W3CDTF">2025-11-25T09:28:10Z</dcterms:modified>
</cp:coreProperties>
</file>